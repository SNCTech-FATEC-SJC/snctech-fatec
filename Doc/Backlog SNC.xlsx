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ietro\Downloads\"/>
    </mc:Choice>
  </mc:AlternateContent>
  <xr:revisionPtr revIDLastSave="0" documentId="13_ncr:1_{C7A9E120-5B5D-44DF-B884-2474FC406B42}" xr6:coauthVersionLast="47" xr6:coauthVersionMax="47" xr10:uidLastSave="{00000000-0000-0000-0000-000000000000}"/>
  <bookViews>
    <workbookView xWindow="-120" yWindow="-120" windowWidth="29040" windowHeight="15990" tabRatio="500" activeTab="2" xr2:uid="{00000000-000D-0000-FFFF-FFFF00000000}"/>
  </bookViews>
  <sheets>
    <sheet name="📋 Product Backlog" sheetId="1" r:id="rId1"/>
    <sheet name="🚀 Sprint Backlog" sheetId="2" r:id="rId2"/>
    <sheet name="⭐ PACER - Soft Skills" sheetId="3" r:id="rId3"/>
    <sheet name="📖 Guia PACER" sheetId="4" r:id="rId4"/>
  </sheets>
  <definedNames>
    <definedName name="_xlnm._FilterDatabase" localSheetId="1" hidden="1">'🚀 Sprint Backlog'!$A$5:$J$18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G31" i="3" l="1"/>
  <c r="F31" i="3"/>
  <c r="E31" i="3"/>
  <c r="D31" i="3"/>
  <c r="C31" i="3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H24" i="3"/>
  <c r="G24" i="3"/>
  <c r="G23" i="3"/>
  <c r="H23" i="3" s="1"/>
  <c r="H22" i="3"/>
  <c r="G22" i="3"/>
  <c r="G21" i="3"/>
  <c r="H21" i="3" s="1"/>
  <c r="G20" i="3"/>
  <c r="H20" i="3" s="1"/>
  <c r="G19" i="3"/>
  <c r="H19" i="3" s="1"/>
  <c r="H18" i="3"/>
  <c r="G18" i="3"/>
  <c r="G17" i="3"/>
  <c r="H17" i="3" s="1"/>
  <c r="H16" i="3"/>
  <c r="G16" i="3"/>
  <c r="G15" i="3"/>
  <c r="H15" i="3" s="1"/>
  <c r="G14" i="3"/>
  <c r="H14" i="3" s="1"/>
  <c r="G13" i="3"/>
  <c r="H13" i="3" s="1"/>
  <c r="H12" i="3"/>
  <c r="G12" i="3"/>
  <c r="G11" i="3"/>
  <c r="H11" i="3" s="1"/>
  <c r="H31" i="3" s="1"/>
  <c r="H10" i="3"/>
  <c r="G10" i="3"/>
</calcChain>
</file>

<file path=xl/sharedStrings.xml><?xml version="1.0" encoding="utf-8"?>
<sst xmlns="http://schemas.openxmlformats.org/spreadsheetml/2006/main" count="296" uniqueCount="165">
  <si>
    <t>PRODUCT BACKLOG</t>
  </si>
  <si>
    <t>Equipe SNC  ·  API 2025</t>
  </si>
  <si>
    <t>ID</t>
  </si>
  <si>
    <t>Épico</t>
  </si>
  <si>
    <t>User Story</t>
  </si>
  <si>
    <t>Descrição</t>
  </si>
  <si>
    <t>Critério de Aceitação</t>
  </si>
  <si>
    <t>Prioridade</t>
  </si>
  <si>
    <t>Status</t>
  </si>
  <si>
    <t>Sprint</t>
  </si>
  <si>
    <t>PB-01</t>
  </si>
  <si>
    <t>Interface</t>
  </si>
  <si>
    <t>Como usuário quero visualizar um menu no programa para escolher qual sequência calcular.</t>
  </si>
  <si>
    <t>Criar interface em texto com menu de opções</t>
  </si>
  <si>
    <t>Menu deve aparecer ao iniciar a aplicação</t>
  </si>
  <si>
    <t>Alta</t>
  </si>
  <si>
    <t>Backlog</t>
  </si>
  <si>
    <t>Sprint 1</t>
  </si>
  <si>
    <t>PB-02</t>
  </si>
  <si>
    <t>Fluxo do sistema</t>
  </si>
  <si>
    <t>Como usuário quero executar apenas um cálculo por vez para facilitar o uso.</t>
  </si>
  <si>
    <t>Sistema deve solicitar a sequência e executar somente um cálculo</t>
  </si>
  <si>
    <t>Após executar cálculo o sistema deve retornar ao menu</t>
  </si>
  <si>
    <t>PB-03</t>
  </si>
  <si>
    <t>Como usuário quero que o programa execute todos os cálculos de sequência lógica propostos como opções no menu.</t>
  </si>
  <si>
    <t>Realizar o cálculo matemático relacionado a sequência escolhida pelo usuário</t>
  </si>
  <si>
    <t>O sistema deve realizar o cálculo da sequência escolhida pelo usuário baseada nos parâmetros inseridos.</t>
  </si>
  <si>
    <t>PB-04</t>
  </si>
  <si>
    <t>Sequência</t>
  </si>
  <si>
    <t>Como usuário quero que o programa me mostre a Sequência de Fibonacci de acordo com o parâmetro N(Índice).</t>
  </si>
  <si>
    <t>Realizar o cálculo da Sequência de Fibonacci</t>
  </si>
  <si>
    <t>A função deve retornar o valor correto conforme N(Índice) inserido pelo usuário.</t>
  </si>
  <si>
    <t>Baixa</t>
  </si>
  <si>
    <t>Sprint 3</t>
  </si>
  <si>
    <t>PB-05</t>
  </si>
  <si>
    <t>Como usuário quero que o programa me mostre a Sequência de Números Triangulares de acordo com o parâmetro N(Índice).</t>
  </si>
  <si>
    <t>Realizar o cálculo da Sequência de Números Triangulares</t>
  </si>
  <si>
    <t>PB-06</t>
  </si>
  <si>
    <t>Como usuário quero que o programa me mostre a Sequência de Números Primos de acordo com o parâmetro N(Índice).</t>
  </si>
  <si>
    <t>Realizar o cálculo da Sequência de Números Primos</t>
  </si>
  <si>
    <t>PB-07</t>
  </si>
  <si>
    <t>Como usuário quero que o programa me mostre uma Sequência Fatorial de acordo com os parâmetros N(Índice) e n(Número).</t>
  </si>
  <si>
    <t>Realizar o cálculo da Sequência Fatorial</t>
  </si>
  <si>
    <t>A função deve retornar o valor correto conforme N(Índice) e n(Número) inseridos.</t>
  </si>
  <si>
    <t>Média</t>
  </si>
  <si>
    <t>Sprint 2</t>
  </si>
  <si>
    <t>PB-08</t>
  </si>
  <si>
    <t>Como usuário quero que o programa me mostre a Sequência de Quadrados Perfeitos de acordo com o parâmetro N(Índice).</t>
  </si>
  <si>
    <t>Realizar o cálculo da Sequência de Quadrados Perfeitos</t>
  </si>
  <si>
    <t>PB-09</t>
  </si>
  <si>
    <t>Como usuário quero que o programa me mostre a Sequência de Cubos de acordo com o parâmetro N(Índice).</t>
  </si>
  <si>
    <t>Realizar o cálculo da Sequência de Cubos</t>
  </si>
  <si>
    <t>PB-10</t>
  </si>
  <si>
    <t>Como usuário quero que o programa me mostre uma Sequência Geométrica de acordo com os parâmetros N(Índice) e R(Razão).</t>
  </si>
  <si>
    <t>Realizar o cálculo da Sequência Geométrica</t>
  </si>
  <si>
    <t>A função deve retornar o valor correto conforme N(Índice) e R(Razão) inseridos.</t>
  </si>
  <si>
    <t>PB-11</t>
  </si>
  <si>
    <t>Como usuário quero que o programa me mostre uma Sequência Alternada de acordo com os parâmetros N(Índice) e B(Magnitude).</t>
  </si>
  <si>
    <t>Realizar o cálculo da Sequência Alternada</t>
  </si>
  <si>
    <t>A função deve retornar o valor correto conforme N(Índice) e B(Magnitude) inseridos.</t>
  </si>
  <si>
    <t>PB-12</t>
  </si>
  <si>
    <t>Como usuário quero que o programa me mostre a Sequência de Tribonacci de acordo com o parâmetro N(Índice).</t>
  </si>
  <si>
    <t>Realizar o cálculo da Sequência de Tribonacci</t>
  </si>
  <si>
    <t>SPRINT BACKLOG</t>
  </si>
  <si>
    <t>Equipe SNC  ·  API 2025  ·  Ordene por Story Points clicando na seta ▼ do cabeçalho</t>
  </si>
  <si>
    <t>💡 Dica: clique na seta ▼ da coluna 'Story Points' para ordenar por esforço. Use os dropdowns para atribuir Sprint, Status e Responsável.</t>
  </si>
  <si>
    <t>Sprint Atual:</t>
  </si>
  <si>
    <t>Início:</t>
  </si>
  <si>
    <t>Fim:</t>
  </si>
  <si>
    <t>Tarefa</t>
  </si>
  <si>
    <t>Responsável</t>
  </si>
  <si>
    <t>Story Points</t>
  </si>
  <si>
    <t>Início</t>
  </si>
  <si>
    <t>Conclusão</t>
  </si>
  <si>
    <t>▸  Sprint 1  —  12 tarefas</t>
  </si>
  <si>
    <t>Visualizar menu no programa</t>
  </si>
  <si>
    <t>Desenvolver menu de texto interativo</t>
  </si>
  <si>
    <t>To Do</t>
  </si>
  <si>
    <t>Testar exibição do menu ao iniciar app</t>
  </si>
  <si>
    <t>Executar apenas um cálculo por vez</t>
  </si>
  <si>
    <t>Implementar loop de controle do fluxo</t>
  </si>
  <si>
    <t>Testar retorno ao menu pós-cálculo</t>
  </si>
  <si>
    <t>Executar todos os cálculos propostos no menu</t>
  </si>
  <si>
    <t>Mapear todos os cálculos necessários</t>
  </si>
  <si>
    <t>Integrar cálculos ao menu</t>
  </si>
  <si>
    <t>Sequência de Quadrados Perfeitos</t>
  </si>
  <si>
    <t>Implementar algoritmo de Quadrados Perfeitos</t>
  </si>
  <si>
    <t>Testar retorno correto conforme N inserido</t>
  </si>
  <si>
    <t>Sequência Geométrica</t>
  </si>
  <si>
    <t>Implementar algoritmo de Sequência Geométrica</t>
  </si>
  <si>
    <t>Testar retorno correto conforme N e R inseridos</t>
  </si>
  <si>
    <t>Sequência de Tribonacci</t>
  </si>
  <si>
    <t>Implementar algoritmo de Tribonacci</t>
  </si>
  <si>
    <t>TOTAL STORY POINTS</t>
  </si>
  <si>
    <t>LEGENDA DE STATUS</t>
  </si>
  <si>
    <t>Doing</t>
  </si>
  <si>
    <t>Done</t>
  </si>
  <si>
    <t>Blocked</t>
  </si>
  <si>
    <t>AVALIAÇÃO PACER — SOFT SKILLS</t>
  </si>
  <si>
    <t>Proatividade · Autonomia · Colaboração · Entrega de Resultados  |  Escala: 1 (mínimo) → 4 (máximo)</t>
  </si>
  <si>
    <t>CRITÉRIO</t>
  </si>
  <si>
    <t>DESCRIÇÃO DOS NÍVEIS</t>
  </si>
  <si>
    <t>P — PROATIVIDADE</t>
  </si>
  <si>
    <t>1=Reativo · 2=Desfocado · 3=Ativo · 4=Proativo</t>
  </si>
  <si>
    <t>A — AUTONOMIA</t>
  </si>
  <si>
    <t>1=Dirigido · 2=Gerido · 3=Treinado · 4=Autogestão</t>
  </si>
  <si>
    <t>C — COLABORAÇÃO</t>
  </si>
  <si>
    <t>1=Ausente · 2=Cooperativo · 3=Coordenado · 4=Colaborativo</t>
  </si>
  <si>
    <t>E — ENTREGA</t>
  </si>
  <si>
    <t>1=Sem entregas · 2=Duvidosas · 3=Confiáveis · 4=Perfeitas</t>
  </si>
  <si>
    <t>Membro</t>
  </si>
  <si>
    <t>P</t>
  </si>
  <si>
    <t>A</t>
  </si>
  <si>
    <t>C</t>
  </si>
  <si>
    <t>E</t>
  </si>
  <si>
    <t>Média PACER</t>
  </si>
  <si>
    <t>Classificação</t>
  </si>
  <si>
    <t>MÉDIA GERAL DA EQUIPE</t>
  </si>
  <si>
    <t>GUIA DE REFERÊNCIA PACER</t>
  </si>
  <si>
    <t>PROATIVIDADE</t>
  </si>
  <si>
    <t>1 - Reativo</t>
  </si>
  <si>
    <t>Não tem iniciativa. Fica esperando alguém dizer o que fazer.</t>
  </si>
  <si>
    <t>2 - Desfocado</t>
  </si>
  <si>
    <t>Pega muitas atividades gerais e não inicia nenhuma devidamente.</t>
  </si>
  <si>
    <t>3 - Ativo</t>
  </si>
  <si>
    <t>Tenta pegar as tarefas mais difíceis. Fundamental para a sprint.</t>
  </si>
  <si>
    <t>4 - Proativo</t>
  </si>
  <si>
    <t>Foco nas tarefas mais valiosas. Alta produtividade, foco por vez.</t>
  </si>
  <si>
    <t>AUTONOMIA</t>
  </si>
  <si>
    <t>1 - Dirigido</t>
  </si>
  <si>
    <t>Não consegue iniciar atividades sem que alguém esteja ao lado.</t>
  </si>
  <si>
    <t>2 - Gerido</t>
  </si>
  <si>
    <t>Demora para iniciar. Só avança quando alguém diz exatamente o que fazer.</t>
  </si>
  <si>
    <t>3 - Treinado</t>
  </si>
  <si>
    <t>Recorre a experiências anteriores. Pouca capacidade criativa.</t>
  </si>
  <si>
    <t>4 - Autogestão</t>
  </si>
  <si>
    <t>Assume responsabilidades. Estimativas precisas. Faz as perguntas certas.</t>
  </si>
  <si>
    <t>COLABORAÇÃO</t>
  </si>
  <si>
    <t>1 - Ausente</t>
  </si>
  <si>
    <t>Não aparece nas reuniões. Não se interessa pelo projeto.</t>
  </si>
  <si>
    <t>2 - Cooperativo</t>
  </si>
  <si>
    <t>Preocupa-se com organização, mas não cumpre seu papel na equipe.</t>
  </si>
  <si>
    <t>3 - Coordenado</t>
  </si>
  <si>
    <t>Compartilha informações. Comunica-se com frequência. Segue papéis.</t>
  </si>
  <si>
    <t>4 - Colaborativo</t>
  </si>
  <si>
    <t>Equipe age como um único organismo. Comunicação é prioridade.</t>
  </si>
  <si>
    <t>ENTREGA DE RESULTADOS</t>
  </si>
  <si>
    <t>1 - Sem entregas</t>
  </si>
  <si>
    <t>Não ocorre entrega de sucesso. Compromete a equipe.</t>
  </si>
  <si>
    <t>2 - Duvidosas</t>
  </si>
  <si>
    <t>Dúvidas se a entrega não arrisca o projeto. Ações urgentes necessárias.</t>
  </si>
  <si>
    <t>3 - Confiáveis</t>
  </si>
  <si>
    <t>Sucesso provável, mas necessita atenção constante para evitar riscos.</t>
  </si>
  <si>
    <t>4 - Perfeitas</t>
  </si>
  <si>
    <t>Entregas completas, sem erros, bem documentadas com qualidade.</t>
  </si>
  <si>
    <t>Pietro Ramos Silveira</t>
  </si>
  <si>
    <t>Helder Francisco da Costa</t>
  </si>
  <si>
    <t>Asafe Maximiano dos Santos</t>
  </si>
  <si>
    <t>Lucas Alves da Silva</t>
  </si>
  <si>
    <t>Miguel Tediole de Oliveira</t>
  </si>
  <si>
    <t>Victor Joaquim Pereira do Nascimento</t>
  </si>
  <si>
    <t>Yan Vitor Siqueira Bergantin</t>
  </si>
  <si>
    <t>Helder e Miguel</t>
  </si>
  <si>
    <t>Asafe e Lucas</t>
  </si>
  <si>
    <t>Victor e 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</si>
</sst>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9BA8B5"/>
      <name val="Arial"/>
      <charset val="1"/>
    </font>
    <font>
      <b/>
      <sz val="10"/>
      <color rgb="FFFFFFFF"/>
      <name val="Arial"/>
      <charset val="1"/>
    </font>
    <font>
      <sz val="10"/>
      <color rgb="FF4A4A5A"/>
      <name val="Arial"/>
      <charset val="1"/>
    </font>
    <font>
      <b/>
      <sz val="10"/>
      <color rgb="FF1E6B3A"/>
      <name val="Arial"/>
      <charset val="1"/>
    </font>
    <font>
      <b/>
      <sz val="10"/>
      <color rgb="FF2563A8"/>
      <name val="Arial"/>
      <charset val="1"/>
    </font>
    <font>
      <b/>
      <sz val="10"/>
      <color rgb="FF7A5200"/>
      <name val="Arial"/>
      <charset val="1"/>
    </font>
    <font>
      <i/>
      <sz val="9"/>
      <color rgb="FF2563A8"/>
      <name val="Arial"/>
      <charset val="1"/>
    </font>
    <font>
      <b/>
      <sz val="10"/>
      <color rgb="FF1A3A5C"/>
      <name val="Arial"/>
      <charset val="1"/>
    </font>
    <font>
      <b/>
      <sz val="11"/>
      <color rgb="FF1A3A5C"/>
      <name val="Arial"/>
      <charset val="1"/>
    </font>
    <font>
      <b/>
      <sz val="12"/>
      <color rgb="FF2563A8"/>
      <name val="Arial"/>
      <charset val="1"/>
    </font>
    <font>
      <sz val="9"/>
      <color rgb="FF4A4A5A"/>
      <name val="Arial"/>
      <charset val="1"/>
    </font>
    <font>
      <b/>
      <sz val="10"/>
      <color rgb="FF7B0000"/>
      <name val="Arial"/>
      <charset val="1"/>
    </font>
    <font>
      <b/>
      <sz val="9"/>
      <color rgb="FFFFFFFF"/>
      <name val="Arial"/>
      <charset val="1"/>
    </font>
    <font>
      <b/>
      <sz val="9"/>
      <color rgb="FF1A3A5C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4C4C"/>
      <name val="Arial"/>
      <charset val="1"/>
    </font>
    <font>
      <b/>
      <sz val="10"/>
      <color rgb="FF9BA8B5"/>
      <name val="Arial"/>
      <charset val="1"/>
    </font>
    <font>
      <b/>
      <sz val="10"/>
      <color rgb="FFF0A500"/>
      <name val="Arial"/>
      <charset val="1"/>
    </font>
    <font>
      <b/>
      <sz val="10"/>
      <color rgb="FF4A4A5A"/>
      <name val="Arial"/>
      <family val="2"/>
    </font>
    <font>
      <sz val="9"/>
      <color theme="1"/>
      <name val="Inherit"/>
    </font>
  </fonts>
  <fills count="18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E8ECEF"/>
        <bgColor rgb="FFD6E8F7"/>
      </patternFill>
    </fill>
    <fill>
      <patternFill patternType="solid">
        <fgColor rgb="FF2563A8"/>
        <bgColor rgb="FF008080"/>
      </patternFill>
    </fill>
    <fill>
      <patternFill patternType="solid">
        <fgColor rgb="FFD6E8F7"/>
        <bgColor rgb="FFE8ECEF"/>
      </patternFill>
    </fill>
    <fill>
      <patternFill patternType="solid">
        <fgColor rgb="FFC6EFCE"/>
        <bgColor rgb="FFD6E8F7"/>
      </patternFill>
    </fill>
    <fill>
      <patternFill patternType="solid">
        <fgColor rgb="FFFFFFFF"/>
        <bgColor rgb="FFFFF8E1"/>
      </patternFill>
    </fill>
    <fill>
      <patternFill patternType="solid">
        <fgColor rgb="FFBDD7EE"/>
        <bgColor rgb="FFC0CDD8"/>
      </patternFill>
    </fill>
    <fill>
      <patternFill patternType="solid">
        <fgColor rgb="FFFFEB9C"/>
        <bgColor rgb="FFFFF8E1"/>
      </patternFill>
    </fill>
    <fill>
      <patternFill patternType="solid">
        <fgColor rgb="FF4A90D9"/>
        <bgColor rgb="FF339966"/>
      </patternFill>
    </fill>
    <fill>
      <patternFill patternType="solid">
        <fgColor rgb="FFFFCCCC"/>
        <bgColor rgb="FFFFEEEE"/>
      </patternFill>
    </fill>
    <fill>
      <patternFill patternType="solid">
        <fgColor rgb="FFFFEEEE"/>
        <bgColor rgb="FFFFF8E1"/>
      </patternFill>
    </fill>
    <fill>
      <patternFill patternType="solid">
        <fgColor rgb="FFFFF8E1"/>
        <bgColor rgb="FFFFEEEE"/>
      </patternFill>
    </fill>
    <fill>
      <patternFill patternType="solid">
        <fgColor theme="4" tint="0.59999389629810485"/>
        <bgColor rgb="FFD6E8F7"/>
      </patternFill>
    </fill>
    <fill>
      <patternFill patternType="solid">
        <fgColor theme="4" tint="0.59999389629810485"/>
        <bgColor rgb="FFFFF8E1"/>
      </patternFill>
    </fill>
    <fill>
      <patternFill patternType="solid">
        <fgColor theme="3" tint="0.59999389629810485"/>
        <bgColor rgb="FFD6E8F7"/>
      </patternFill>
    </fill>
    <fill>
      <patternFill patternType="solid">
        <fgColor theme="4" tint="0.39997558519241921"/>
        <bgColor rgb="FFFFF8E1"/>
      </patternFill>
    </fill>
  </fills>
  <borders count="3">
    <border>
      <left/>
      <right/>
      <top/>
      <bottom/>
      <diagonal/>
    </border>
    <border>
      <left style="thin">
        <color rgb="FFC0CDD8"/>
      </left>
      <right style="thin">
        <color rgb="FFC0CDD8"/>
      </right>
      <top style="thin">
        <color rgb="FFC0CDD8"/>
      </top>
      <bottom style="thin">
        <color rgb="FFC0CDD8"/>
      </bottom>
      <diagonal/>
    </border>
    <border>
      <left style="thin">
        <color rgb="FFC0CDD8"/>
      </left>
      <right/>
      <top style="thin">
        <color rgb="FFC0CDD8"/>
      </top>
      <bottom style="thin">
        <color rgb="FFC0CDD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4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5" borderId="0" xfId="0" applyFill="1"/>
    <xf numFmtId="0" fontId="3" fillId="1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14" fontId="4" fillId="7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1E6B3A"/>
      <rgbColor rgb="FF000080"/>
      <rgbColor rgb="FF808000"/>
      <rgbColor rgb="FF800080"/>
      <rgbColor rgb="FF008080"/>
      <rgbColor rgb="FFC0CDD8"/>
      <rgbColor rgb="FF808080"/>
      <rgbColor rgb="FF9999FF"/>
      <rgbColor rgb="FF993366"/>
      <rgbColor rgb="FFFFF8E1"/>
      <rgbColor rgb="FFD6E8F7"/>
      <rgbColor rgb="FF660066"/>
      <rgbColor rgb="FFFF8080"/>
      <rgbColor rgb="FF2563A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EF"/>
      <rgbColor rgb="FFC6EFCE"/>
      <rgbColor rgb="FFFFEB9C"/>
      <rgbColor rgb="FFFFEEEE"/>
      <rgbColor rgb="FFFF99CC"/>
      <rgbColor rgb="FFCC99FF"/>
      <rgbColor rgb="FFFFCCCC"/>
      <rgbColor rgb="FF4A90D9"/>
      <rgbColor rgb="FF33CCCC"/>
      <rgbColor rgb="FF99CC00"/>
      <rgbColor rgb="FFFFCC00"/>
      <rgbColor rgb="FFF0A500"/>
      <rgbColor rgb="FFFF4C4C"/>
      <rgbColor rgb="FF666699"/>
      <rgbColor rgb="FF9BA8B5"/>
      <rgbColor rgb="FF1A3A5C"/>
      <rgbColor rgb="FF339966"/>
      <rgbColor rgb="FF003300"/>
      <rgbColor rgb="FF333300"/>
      <rgbColor rgb="FF7A5200"/>
      <rgbColor rgb="FF993366"/>
      <rgbColor rgb="FF333399"/>
      <rgbColor rgb="FF4A4A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zoomScaleNormal="100" workbookViewId="0">
      <pane ySplit="3" topLeftCell="A4" activePane="bottomLeft" state="frozen"/>
      <selection pane="bottomLeft" activeCell="C3" sqref="C3"/>
    </sheetView>
  </sheetViews>
  <sheetFormatPr defaultColWidth="8.7109375" defaultRowHeight="15"/>
  <cols>
    <col min="1" max="1" width="8" customWidth="1"/>
    <col min="2" max="2" width="16" customWidth="1"/>
    <col min="3" max="3" width="42" customWidth="1"/>
    <col min="4" max="4" width="36" customWidth="1"/>
    <col min="5" max="5" width="44" customWidth="1"/>
    <col min="6" max="6" width="11" customWidth="1"/>
    <col min="7" max="8" width="12" customWidth="1"/>
  </cols>
  <sheetData>
    <row r="1" spans="1:8" ht="36" customHeight="1">
      <c r="A1" s="34" t="s">
        <v>0</v>
      </c>
      <c r="B1" s="34"/>
      <c r="C1" s="34"/>
      <c r="D1" s="34"/>
      <c r="E1" s="34"/>
      <c r="F1" s="34"/>
      <c r="G1" s="34"/>
      <c r="H1" s="34"/>
    </row>
    <row r="2" spans="1:8" ht="18" customHeight="1">
      <c r="A2" s="35" t="s">
        <v>1</v>
      </c>
      <c r="B2" s="35"/>
      <c r="C2" s="35"/>
      <c r="D2" s="35"/>
      <c r="E2" s="35"/>
      <c r="F2" s="35"/>
      <c r="G2" s="35"/>
      <c r="H2" s="35"/>
    </row>
    <row r="3" spans="1:8" ht="27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51.75" customHeight="1">
      <c r="A4" s="4" t="s">
        <v>10</v>
      </c>
      <c r="B4" s="4" t="s">
        <v>11</v>
      </c>
      <c r="C4" s="5" t="s">
        <v>12</v>
      </c>
      <c r="D4" s="5" t="s">
        <v>13</v>
      </c>
      <c r="E4" s="5" t="s">
        <v>14</v>
      </c>
      <c r="F4" s="6" t="s">
        <v>15</v>
      </c>
      <c r="G4" s="4" t="s">
        <v>16</v>
      </c>
      <c r="H4" s="4" t="s">
        <v>17</v>
      </c>
    </row>
    <row r="5" spans="1:8" ht="51.75" customHeight="1">
      <c r="A5" s="7" t="s">
        <v>18</v>
      </c>
      <c r="B5" s="7" t="s">
        <v>19</v>
      </c>
      <c r="C5" s="8" t="s">
        <v>20</v>
      </c>
      <c r="D5" s="8" t="s">
        <v>21</v>
      </c>
      <c r="E5" s="8" t="s">
        <v>22</v>
      </c>
      <c r="F5" s="6" t="s">
        <v>15</v>
      </c>
      <c r="G5" s="7" t="s">
        <v>16</v>
      </c>
      <c r="H5" s="7" t="s">
        <v>17</v>
      </c>
    </row>
    <row r="6" spans="1:8" ht="51.75" customHeight="1">
      <c r="A6" s="4" t="s">
        <v>23</v>
      </c>
      <c r="B6" s="4" t="s">
        <v>19</v>
      </c>
      <c r="C6" s="5" t="s">
        <v>24</v>
      </c>
      <c r="D6" s="5" t="s">
        <v>25</v>
      </c>
      <c r="E6" s="5" t="s">
        <v>26</v>
      </c>
      <c r="F6" s="6" t="s">
        <v>15</v>
      </c>
      <c r="G6" s="4" t="s">
        <v>16</v>
      </c>
      <c r="H6" s="4" t="s">
        <v>17</v>
      </c>
    </row>
    <row r="7" spans="1:8" ht="51.75" customHeight="1">
      <c r="A7" s="7" t="s">
        <v>27</v>
      </c>
      <c r="B7" s="7" t="s">
        <v>28</v>
      </c>
      <c r="C7" s="8" t="s">
        <v>29</v>
      </c>
      <c r="D7" s="8" t="s">
        <v>30</v>
      </c>
      <c r="E7" s="8" t="s">
        <v>31</v>
      </c>
      <c r="F7" s="9" t="s">
        <v>32</v>
      </c>
      <c r="G7" s="7" t="s">
        <v>16</v>
      </c>
      <c r="H7" s="7" t="s">
        <v>33</v>
      </c>
    </row>
    <row r="8" spans="1:8" ht="51.75" customHeight="1">
      <c r="A8" s="4" t="s">
        <v>34</v>
      </c>
      <c r="B8" s="4" t="s">
        <v>28</v>
      </c>
      <c r="C8" s="5" t="s">
        <v>35</v>
      </c>
      <c r="D8" s="5" t="s">
        <v>36</v>
      </c>
      <c r="E8" s="5" t="s">
        <v>31</v>
      </c>
      <c r="F8" s="9" t="s">
        <v>32</v>
      </c>
      <c r="G8" s="4" t="s">
        <v>16</v>
      </c>
      <c r="H8" s="4" t="s">
        <v>33</v>
      </c>
    </row>
    <row r="9" spans="1:8" ht="51.75" customHeight="1">
      <c r="A9" s="7" t="s">
        <v>37</v>
      </c>
      <c r="B9" s="7" t="s">
        <v>28</v>
      </c>
      <c r="C9" s="8" t="s">
        <v>38</v>
      </c>
      <c r="D9" s="8" t="s">
        <v>39</v>
      </c>
      <c r="E9" s="8" t="s">
        <v>31</v>
      </c>
      <c r="F9" s="9" t="s">
        <v>32</v>
      </c>
      <c r="G9" s="7" t="s">
        <v>16</v>
      </c>
      <c r="H9" s="7" t="s">
        <v>33</v>
      </c>
    </row>
    <row r="10" spans="1:8" ht="51.75" customHeight="1">
      <c r="A10" s="4" t="s">
        <v>40</v>
      </c>
      <c r="B10" s="4" t="s">
        <v>28</v>
      </c>
      <c r="C10" s="5" t="s">
        <v>41</v>
      </c>
      <c r="D10" s="5" t="s">
        <v>42</v>
      </c>
      <c r="E10" s="5" t="s">
        <v>43</v>
      </c>
      <c r="F10" s="10" t="s">
        <v>44</v>
      </c>
      <c r="G10" s="4" t="s">
        <v>16</v>
      </c>
      <c r="H10" s="4" t="s">
        <v>45</v>
      </c>
    </row>
    <row r="11" spans="1:8" ht="51.75" customHeight="1">
      <c r="A11" s="7" t="s">
        <v>46</v>
      </c>
      <c r="B11" s="7" t="s">
        <v>28</v>
      </c>
      <c r="C11" s="8" t="s">
        <v>47</v>
      </c>
      <c r="D11" s="8" t="s">
        <v>48</v>
      </c>
      <c r="E11" s="8" t="s">
        <v>31</v>
      </c>
      <c r="F11" s="6" t="s">
        <v>15</v>
      </c>
      <c r="G11" s="7" t="s">
        <v>16</v>
      </c>
      <c r="H11" s="7" t="s">
        <v>17</v>
      </c>
    </row>
    <row r="12" spans="1:8" ht="51.75" customHeight="1">
      <c r="A12" s="4" t="s">
        <v>49</v>
      </c>
      <c r="B12" s="4" t="s">
        <v>28</v>
      </c>
      <c r="C12" s="5" t="s">
        <v>50</v>
      </c>
      <c r="D12" s="5" t="s">
        <v>51</v>
      </c>
      <c r="E12" s="5" t="s">
        <v>31</v>
      </c>
      <c r="F12" s="10" t="s">
        <v>44</v>
      </c>
      <c r="G12" s="4" t="s">
        <v>16</v>
      </c>
      <c r="H12" s="4" t="s">
        <v>45</v>
      </c>
    </row>
    <row r="13" spans="1:8" ht="51.75" customHeight="1">
      <c r="A13" s="7" t="s">
        <v>52</v>
      </c>
      <c r="B13" s="7" t="s">
        <v>28</v>
      </c>
      <c r="C13" s="8" t="s">
        <v>53</v>
      </c>
      <c r="D13" s="8" t="s">
        <v>54</v>
      </c>
      <c r="E13" s="8" t="s">
        <v>55</v>
      </c>
      <c r="F13" s="6" t="s">
        <v>15</v>
      </c>
      <c r="G13" s="7" t="s">
        <v>16</v>
      </c>
      <c r="H13" s="7" t="s">
        <v>17</v>
      </c>
    </row>
    <row r="14" spans="1:8" ht="51.75" customHeight="1">
      <c r="A14" s="4" t="s">
        <v>56</v>
      </c>
      <c r="B14" s="4" t="s">
        <v>28</v>
      </c>
      <c r="C14" s="5" t="s">
        <v>57</v>
      </c>
      <c r="D14" s="5" t="s">
        <v>58</v>
      </c>
      <c r="E14" s="5" t="s">
        <v>59</v>
      </c>
      <c r="F14" s="10" t="s">
        <v>44</v>
      </c>
      <c r="G14" s="4" t="s">
        <v>16</v>
      </c>
      <c r="H14" s="4" t="s">
        <v>45</v>
      </c>
    </row>
    <row r="15" spans="1:8" ht="51.75" customHeight="1">
      <c r="A15" s="7" t="s">
        <v>60</v>
      </c>
      <c r="B15" s="7" t="s">
        <v>28</v>
      </c>
      <c r="C15" s="8" t="s">
        <v>61</v>
      </c>
      <c r="D15" s="8" t="s">
        <v>62</v>
      </c>
      <c r="E15" s="8" t="s">
        <v>31</v>
      </c>
      <c r="F15" s="6" t="s">
        <v>15</v>
      </c>
      <c r="G15" s="7" t="s">
        <v>16</v>
      </c>
      <c r="H15" s="7" t="s">
        <v>17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zoomScaleNormal="100" workbookViewId="0">
      <pane ySplit="5" topLeftCell="A6" activePane="bottomLeft" state="frozen"/>
      <selection pane="bottomLeft" activeCell="L11" sqref="L11"/>
    </sheetView>
  </sheetViews>
  <sheetFormatPr defaultColWidth="8.7109375" defaultRowHeight="15"/>
  <cols>
    <col min="1" max="1" width="8" customWidth="1"/>
    <col min="2" max="2" width="36" customWidth="1"/>
    <col min="3" max="3" width="34" customWidth="1"/>
    <col min="4" max="4" width="16" customWidth="1"/>
    <col min="5" max="5" width="14" customWidth="1"/>
    <col min="6" max="8" width="12" customWidth="1"/>
    <col min="9" max="10" width="14" customWidth="1"/>
  </cols>
  <sheetData>
    <row r="1" spans="1:10" ht="36" customHeight="1">
      <c r="A1" s="34" t="s">
        <v>63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" customHeight="1">
      <c r="A2" s="35" t="s">
        <v>64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1.75" customHeight="1">
      <c r="A3" s="38" t="s">
        <v>65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21.75" customHeight="1">
      <c r="A4" s="39" t="s">
        <v>66</v>
      </c>
      <c r="B4" s="39"/>
      <c r="C4" s="11" t="s">
        <v>17</v>
      </c>
      <c r="D4" s="2" t="s">
        <v>67</v>
      </c>
      <c r="E4" s="12">
        <v>46097</v>
      </c>
      <c r="F4" s="2" t="s">
        <v>68</v>
      </c>
      <c r="G4" s="12">
        <v>46117</v>
      </c>
      <c r="H4" s="13"/>
      <c r="I4" s="13"/>
      <c r="J4" s="13"/>
    </row>
    <row r="5" spans="1:10" ht="27.75" customHeight="1">
      <c r="A5" s="14" t="s">
        <v>2</v>
      </c>
      <c r="B5" s="14" t="s">
        <v>4</v>
      </c>
      <c r="C5" s="14" t="s">
        <v>69</v>
      </c>
      <c r="D5" s="14" t="s">
        <v>70</v>
      </c>
      <c r="E5" s="14" t="s">
        <v>71</v>
      </c>
      <c r="F5" s="14" t="s">
        <v>8</v>
      </c>
      <c r="G5" s="14" t="s">
        <v>7</v>
      </c>
      <c r="H5" s="14" t="s">
        <v>9</v>
      </c>
      <c r="I5" s="14" t="s">
        <v>72</v>
      </c>
      <c r="J5" s="14" t="s">
        <v>73</v>
      </c>
    </row>
    <row r="6" spans="1:10" ht="19.5" customHeight="1">
      <c r="A6" s="40" t="s">
        <v>74</v>
      </c>
      <c r="B6" s="40"/>
      <c r="C6" s="40"/>
      <c r="D6" s="40"/>
      <c r="E6" s="40"/>
      <c r="F6" s="40"/>
      <c r="G6" s="40"/>
      <c r="H6" s="40"/>
      <c r="I6" s="40"/>
      <c r="J6" s="40"/>
    </row>
    <row r="7" spans="1:10" ht="39.75" customHeight="1">
      <c r="A7" s="7" t="s">
        <v>10</v>
      </c>
      <c r="B7" s="8" t="s">
        <v>75</v>
      </c>
      <c r="C7" s="8" t="s">
        <v>76</v>
      </c>
      <c r="D7" s="8" t="s">
        <v>162</v>
      </c>
      <c r="E7" s="15">
        <v>3</v>
      </c>
      <c r="F7" s="16" t="s">
        <v>77</v>
      </c>
      <c r="G7" s="6" t="s">
        <v>15</v>
      </c>
      <c r="H7" s="16" t="s">
        <v>17</v>
      </c>
      <c r="I7" s="48">
        <v>46097</v>
      </c>
      <c r="J7" s="51">
        <v>46107</v>
      </c>
    </row>
    <row r="8" spans="1:10" ht="39.75" customHeight="1">
      <c r="A8" s="4" t="s">
        <v>10</v>
      </c>
      <c r="B8" s="5" t="s">
        <v>75</v>
      </c>
      <c r="C8" s="5" t="s">
        <v>78</v>
      </c>
      <c r="D8" s="5" t="s">
        <v>162</v>
      </c>
      <c r="E8" s="17">
        <v>1</v>
      </c>
      <c r="F8" s="16" t="s">
        <v>77</v>
      </c>
      <c r="G8" s="6" t="s">
        <v>15</v>
      </c>
      <c r="H8" s="16" t="s">
        <v>17</v>
      </c>
      <c r="I8" s="49">
        <v>46097</v>
      </c>
      <c r="J8" s="51">
        <v>46107</v>
      </c>
    </row>
    <row r="9" spans="1:10" ht="39.75" customHeight="1">
      <c r="A9" s="7" t="s">
        <v>18</v>
      </c>
      <c r="B9" s="8" t="s">
        <v>79</v>
      </c>
      <c r="C9" s="8" t="s">
        <v>80</v>
      </c>
      <c r="D9" s="8" t="s">
        <v>162</v>
      </c>
      <c r="E9" s="15">
        <v>3</v>
      </c>
      <c r="F9" s="16" t="s">
        <v>77</v>
      </c>
      <c r="G9" s="6" t="s">
        <v>15</v>
      </c>
      <c r="H9" s="16" t="s">
        <v>17</v>
      </c>
      <c r="I9" s="48">
        <v>46097</v>
      </c>
      <c r="J9" s="51">
        <v>46107</v>
      </c>
    </row>
    <row r="10" spans="1:10" ht="39.75" customHeight="1">
      <c r="A10" s="4" t="s">
        <v>18</v>
      </c>
      <c r="B10" s="5" t="s">
        <v>79</v>
      </c>
      <c r="C10" s="5" t="s">
        <v>81</v>
      </c>
      <c r="D10" s="5" t="s">
        <v>162</v>
      </c>
      <c r="E10" s="17">
        <v>1</v>
      </c>
      <c r="F10" s="16" t="s">
        <v>77</v>
      </c>
      <c r="G10" s="6" t="s">
        <v>15</v>
      </c>
      <c r="H10" s="16" t="s">
        <v>17</v>
      </c>
      <c r="I10" s="49">
        <v>46097</v>
      </c>
      <c r="J10" s="51">
        <v>46107</v>
      </c>
    </row>
    <row r="11" spans="1:10" ht="39.75" customHeight="1">
      <c r="A11" s="7" t="s">
        <v>23</v>
      </c>
      <c r="B11" s="8" t="s">
        <v>82</v>
      </c>
      <c r="C11" s="8" t="s">
        <v>83</v>
      </c>
      <c r="D11" s="8" t="s">
        <v>162</v>
      </c>
      <c r="E11" s="15">
        <v>2</v>
      </c>
      <c r="F11" s="16" t="s">
        <v>77</v>
      </c>
      <c r="G11" s="6" t="s">
        <v>15</v>
      </c>
      <c r="H11" s="16" t="s">
        <v>17</v>
      </c>
      <c r="I11" s="48">
        <v>46097</v>
      </c>
      <c r="J11" s="51">
        <v>46107</v>
      </c>
    </row>
    <row r="12" spans="1:10" ht="39.75" customHeight="1">
      <c r="A12" s="4" t="s">
        <v>23</v>
      </c>
      <c r="B12" s="5" t="s">
        <v>82</v>
      </c>
      <c r="C12" s="5" t="s">
        <v>84</v>
      </c>
      <c r="D12" s="5" t="s">
        <v>162</v>
      </c>
      <c r="E12" s="17">
        <v>3</v>
      </c>
      <c r="F12" s="16" t="s">
        <v>77</v>
      </c>
      <c r="G12" s="6" t="s">
        <v>15</v>
      </c>
      <c r="H12" s="16" t="s">
        <v>17</v>
      </c>
      <c r="I12" s="49">
        <v>46097</v>
      </c>
      <c r="J12" s="51">
        <v>46107</v>
      </c>
    </row>
    <row r="13" spans="1:10" ht="39.75" customHeight="1">
      <c r="A13" s="7" t="s">
        <v>46</v>
      </c>
      <c r="B13" s="8" t="s">
        <v>85</v>
      </c>
      <c r="C13" s="8" t="s">
        <v>86</v>
      </c>
      <c r="D13" s="8" t="s">
        <v>162</v>
      </c>
      <c r="E13" s="15">
        <v>2</v>
      </c>
      <c r="F13" s="16" t="s">
        <v>77</v>
      </c>
      <c r="G13" s="6" t="s">
        <v>15</v>
      </c>
      <c r="H13" s="16" t="s">
        <v>17</v>
      </c>
      <c r="I13" s="48">
        <v>46097</v>
      </c>
      <c r="J13" s="50">
        <v>46117</v>
      </c>
    </row>
    <row r="14" spans="1:10" ht="39.75" customHeight="1">
      <c r="A14" s="4" t="s">
        <v>46</v>
      </c>
      <c r="B14" s="5" t="s">
        <v>85</v>
      </c>
      <c r="C14" s="5" t="s">
        <v>87</v>
      </c>
      <c r="D14" s="5" t="s">
        <v>162</v>
      </c>
      <c r="E14" s="17">
        <v>1</v>
      </c>
      <c r="F14" s="16" t="s">
        <v>77</v>
      </c>
      <c r="G14" s="6" t="s">
        <v>15</v>
      </c>
      <c r="H14" s="16" t="s">
        <v>17</v>
      </c>
      <c r="I14" s="49">
        <v>46097</v>
      </c>
      <c r="J14" s="51">
        <v>46117</v>
      </c>
    </row>
    <row r="15" spans="1:10" ht="39.75" customHeight="1">
      <c r="A15" s="7" t="s">
        <v>52</v>
      </c>
      <c r="B15" s="8" t="s">
        <v>88</v>
      </c>
      <c r="C15" s="8" t="s">
        <v>89</v>
      </c>
      <c r="D15" s="8" t="s">
        <v>163</v>
      </c>
      <c r="E15" s="15">
        <v>3</v>
      </c>
      <c r="F15" s="16" t="s">
        <v>77</v>
      </c>
      <c r="G15" s="6" t="s">
        <v>15</v>
      </c>
      <c r="H15" s="16" t="s">
        <v>17</v>
      </c>
      <c r="I15" s="48">
        <v>46097</v>
      </c>
      <c r="J15" s="50">
        <v>46105</v>
      </c>
    </row>
    <row r="16" spans="1:10" ht="39.75" customHeight="1">
      <c r="A16" s="4" t="s">
        <v>52</v>
      </c>
      <c r="B16" s="5" t="s">
        <v>88</v>
      </c>
      <c r="C16" s="5" t="s">
        <v>90</v>
      </c>
      <c r="D16" s="5" t="s">
        <v>163</v>
      </c>
      <c r="E16" s="17">
        <v>1</v>
      </c>
      <c r="F16" s="16" t="s">
        <v>77</v>
      </c>
      <c r="G16" s="6" t="s">
        <v>15</v>
      </c>
      <c r="H16" s="16" t="s">
        <v>17</v>
      </c>
      <c r="I16" s="49">
        <v>46097</v>
      </c>
      <c r="J16" s="51">
        <v>46105</v>
      </c>
    </row>
    <row r="17" spans="1:10" ht="39.75" customHeight="1">
      <c r="A17" s="7" t="s">
        <v>60</v>
      </c>
      <c r="B17" s="8" t="s">
        <v>91</v>
      </c>
      <c r="C17" s="8" t="s">
        <v>92</v>
      </c>
      <c r="D17" s="8" t="s">
        <v>164</v>
      </c>
      <c r="E17" s="15">
        <v>3</v>
      </c>
      <c r="F17" s="16" t="s">
        <v>77</v>
      </c>
      <c r="G17" s="6" t="s">
        <v>15</v>
      </c>
      <c r="H17" s="16" t="s">
        <v>17</v>
      </c>
      <c r="I17" s="48">
        <v>46097</v>
      </c>
      <c r="J17" s="52">
        <v>46116</v>
      </c>
    </row>
    <row r="18" spans="1:10" ht="39.75" customHeight="1">
      <c r="A18" s="4" t="s">
        <v>60</v>
      </c>
      <c r="B18" s="5" t="s">
        <v>91</v>
      </c>
      <c r="C18" s="5" t="s">
        <v>87</v>
      </c>
      <c r="D18" s="5" t="s">
        <v>164</v>
      </c>
      <c r="E18" s="17">
        <v>1</v>
      </c>
      <c r="F18" s="16" t="s">
        <v>77</v>
      </c>
      <c r="G18" s="6" t="s">
        <v>15</v>
      </c>
      <c r="H18" s="16" t="s">
        <v>17</v>
      </c>
      <c r="I18" s="49">
        <v>46097</v>
      </c>
      <c r="J18" s="52">
        <v>46116</v>
      </c>
    </row>
    <row r="19" spans="1:10" ht="25.5" customHeight="1">
      <c r="A19" s="36" t="s">
        <v>93</v>
      </c>
      <c r="B19" s="36"/>
      <c r="C19" s="36"/>
      <c r="D19" s="36"/>
      <c r="E19" s="18">
        <f>SUMIF(H6:H18,"Sprint 1",E6:E18)</f>
        <v>24</v>
      </c>
      <c r="F19" s="19"/>
      <c r="G19" s="18"/>
      <c r="H19" s="19"/>
      <c r="I19" s="18"/>
      <c r="J19" s="19"/>
    </row>
    <row r="21" spans="1:10" ht="19.5" customHeight="1">
      <c r="A21" s="37" t="s">
        <v>94</v>
      </c>
      <c r="B21" s="37"/>
      <c r="C21" s="37"/>
      <c r="D21" s="37"/>
      <c r="E21" s="37"/>
      <c r="F21" s="37"/>
      <c r="G21" s="37"/>
      <c r="H21" s="37"/>
      <c r="I21" s="37"/>
      <c r="J21" s="37"/>
    </row>
    <row r="22" spans="1:10" ht="21.75" customHeight="1">
      <c r="A22" s="16" t="s">
        <v>77</v>
      </c>
      <c r="C22" s="10" t="s">
        <v>95</v>
      </c>
      <c r="E22" s="6" t="s">
        <v>96</v>
      </c>
      <c r="G22" s="20" t="s">
        <v>97</v>
      </c>
    </row>
  </sheetData>
  <autoFilter ref="A5:J18" xr:uid="{00000000-0009-0000-0000-000001000000}"/>
  <mergeCells count="7">
    <mergeCell ref="A19:D19"/>
    <mergeCell ref="A21:J21"/>
    <mergeCell ref="A1:J1"/>
    <mergeCell ref="A2:J2"/>
    <mergeCell ref="A3:J3"/>
    <mergeCell ref="A4:B4"/>
    <mergeCell ref="A6:J6"/>
  </mergeCells>
  <dataValidations count="4">
    <dataValidation type="list" sqref="C4" xr:uid="{00000000-0002-0000-0100-000000000000}">
      <formula1>"Sprint 1,Sprint 2,Sprint 3,Sprint 4"</formula1>
      <formula2>0</formula2>
    </dataValidation>
    <dataValidation type="list" allowBlank="1" sqref="H6:H186" xr:uid="{00000000-0002-0000-0100-000001000000}">
      <formula1>"Sprint 1,Sprint 2,Sprint 3,Sprint 4"</formula1>
      <formula2>0</formula2>
    </dataValidation>
    <dataValidation type="list" allowBlank="1" sqref="F6:F186" xr:uid="{00000000-0002-0000-0100-000002000000}">
      <formula1>"To Do,Doing,Done,Blocked"</formula1>
      <formula2>0</formula2>
    </dataValidation>
    <dataValidation type="list" allowBlank="1" sqref="G6:G186" xr:uid="{00000000-0002-0000-0100-000003000000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abSelected="1" zoomScaleNormal="100" workbookViewId="0">
      <selection activeCell="H7" sqref="H7"/>
    </sheetView>
  </sheetViews>
  <sheetFormatPr defaultColWidth="8.7109375" defaultRowHeight="15"/>
  <cols>
    <col min="1" max="1" width="18.85546875" customWidth="1"/>
    <col min="2" max="2" width="36.85546875" bestFit="1" customWidth="1"/>
    <col min="3" max="7" width="14" customWidth="1"/>
    <col min="8" max="8" width="18" customWidth="1"/>
  </cols>
  <sheetData>
    <row r="1" spans="1:12" ht="36" customHeight="1">
      <c r="A1" s="34" t="s">
        <v>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9.5" customHeight="1">
      <c r="A2" s="35" t="s">
        <v>99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51.75" customHeight="1">
      <c r="A3" s="1" t="s">
        <v>100</v>
      </c>
      <c r="B3" s="43" t="s">
        <v>101</v>
      </c>
      <c r="C3" s="43"/>
      <c r="D3" s="43"/>
    </row>
    <row r="4" spans="1:12" ht="39.75" customHeight="1">
      <c r="A4" s="21" t="s">
        <v>102</v>
      </c>
      <c r="B4" s="42" t="s">
        <v>103</v>
      </c>
      <c r="C4" s="42"/>
      <c r="D4" s="42"/>
    </row>
    <row r="5" spans="1:12" ht="39.75" customHeight="1">
      <c r="A5" s="21" t="s">
        <v>104</v>
      </c>
      <c r="B5" s="42" t="s">
        <v>105</v>
      </c>
      <c r="C5" s="42"/>
      <c r="D5" s="42"/>
    </row>
    <row r="6" spans="1:12" ht="39.75" customHeight="1">
      <c r="A6" s="21" t="s">
        <v>106</v>
      </c>
      <c r="B6" s="42" t="s">
        <v>107</v>
      </c>
      <c r="C6" s="42"/>
      <c r="D6" s="42"/>
    </row>
    <row r="7" spans="1:12" ht="39.75" customHeight="1">
      <c r="A7" s="21" t="s">
        <v>108</v>
      </c>
      <c r="B7" s="42" t="s">
        <v>109</v>
      </c>
      <c r="C7" s="42"/>
      <c r="D7" s="42"/>
    </row>
    <row r="8" spans="1:12" ht="13.5" customHeight="1"/>
    <row r="9" spans="1:12" ht="27.75" customHeight="1">
      <c r="A9" s="22" t="s">
        <v>9</v>
      </c>
      <c r="B9" s="22" t="s">
        <v>110</v>
      </c>
      <c r="C9" s="22" t="s">
        <v>111</v>
      </c>
      <c r="D9" s="22" t="s">
        <v>112</v>
      </c>
      <c r="E9" s="22" t="s">
        <v>113</v>
      </c>
      <c r="F9" s="22" t="s">
        <v>114</v>
      </c>
      <c r="G9" s="22" t="s">
        <v>115</v>
      </c>
      <c r="H9" s="22" t="s">
        <v>116</v>
      </c>
    </row>
    <row r="10" spans="1:12" ht="21.75" customHeight="1">
      <c r="A10" s="43" t="s">
        <v>17</v>
      </c>
      <c r="B10" s="32" t="s">
        <v>155</v>
      </c>
      <c r="C10" s="23"/>
      <c r="D10" s="23"/>
      <c r="E10" s="23"/>
      <c r="F10" s="23"/>
      <c r="G10" s="24" t="str">
        <f t="shared" ref="G10:G30" si="0">IFERROR(IF(COUNTA(C10:F10)=4,AVERAGE(C10:F10),""),"")</f>
        <v/>
      </c>
      <c r="H10" s="25" t="str">
        <f t="shared" ref="H10:H30" si="1">IFERROR(IF(G10="","",IF(G10&gt;=3.5,"🏆 Excelente",IF(G10&gt;=2.5,"✅ Bom",IF(G10&gt;=1.5,"⚠️ Regular","❌ Crítico")))),"")</f>
        <v/>
      </c>
    </row>
    <row r="11" spans="1:12" ht="21.75" customHeight="1">
      <c r="A11" s="43"/>
      <c r="B11" s="33" t="s">
        <v>156</v>
      </c>
      <c r="C11" s="26"/>
      <c r="D11" s="26"/>
      <c r="E11" s="26"/>
      <c r="F11" s="26"/>
      <c r="G11" s="24" t="str">
        <f t="shared" si="0"/>
        <v/>
      </c>
      <c r="H11" s="25" t="str">
        <f t="shared" si="1"/>
        <v/>
      </c>
    </row>
    <row r="12" spans="1:12" ht="21.75" customHeight="1">
      <c r="A12" s="43"/>
      <c r="B12" s="30" t="s">
        <v>157</v>
      </c>
      <c r="C12" s="23"/>
      <c r="D12" s="23"/>
      <c r="E12" s="23"/>
      <c r="F12" s="23"/>
      <c r="G12" s="24" t="str">
        <f t="shared" si="0"/>
        <v/>
      </c>
      <c r="H12" s="25" t="str">
        <f t="shared" si="1"/>
        <v/>
      </c>
    </row>
    <row r="13" spans="1:12" ht="21.75" customHeight="1">
      <c r="A13" s="43"/>
      <c r="B13" s="31" t="s">
        <v>158</v>
      </c>
      <c r="C13" s="26"/>
      <c r="D13" s="26"/>
      <c r="E13" s="26"/>
      <c r="F13" s="26"/>
      <c r="G13" s="24" t="str">
        <f t="shared" si="0"/>
        <v/>
      </c>
      <c r="H13" s="25" t="str">
        <f t="shared" si="1"/>
        <v/>
      </c>
    </row>
    <row r="14" spans="1:12" ht="21.75" customHeight="1">
      <c r="A14" s="43"/>
      <c r="B14" s="30" t="s">
        <v>159</v>
      </c>
      <c r="C14" s="23"/>
      <c r="D14" s="23"/>
      <c r="E14" s="23"/>
      <c r="F14" s="23"/>
      <c r="G14" s="24" t="str">
        <f t="shared" si="0"/>
        <v/>
      </c>
      <c r="H14" s="25" t="str">
        <f t="shared" si="1"/>
        <v/>
      </c>
    </row>
    <row r="15" spans="1:12" ht="21.75" customHeight="1">
      <c r="A15" s="43"/>
      <c r="B15" s="31" t="s">
        <v>160</v>
      </c>
      <c r="C15" s="26"/>
      <c r="D15" s="26"/>
      <c r="E15" s="26"/>
      <c r="F15" s="26"/>
      <c r="G15" s="24" t="str">
        <f t="shared" si="0"/>
        <v/>
      </c>
      <c r="H15" s="25" t="str">
        <f t="shared" si="1"/>
        <v/>
      </c>
    </row>
    <row r="16" spans="1:12" ht="21.75" customHeight="1">
      <c r="A16" s="43"/>
      <c r="B16" s="30" t="s">
        <v>161</v>
      </c>
      <c r="C16" s="23"/>
      <c r="D16" s="23"/>
      <c r="E16" s="23"/>
      <c r="F16" s="23"/>
      <c r="G16" s="24" t="str">
        <f t="shared" si="0"/>
        <v/>
      </c>
      <c r="H16" s="25" t="str">
        <f t="shared" si="1"/>
        <v/>
      </c>
    </row>
    <row r="17" spans="1:8" ht="21.75" customHeight="1">
      <c r="A17" s="43" t="s">
        <v>45</v>
      </c>
      <c r="B17" s="32" t="s">
        <v>155</v>
      </c>
      <c r="C17" s="26"/>
      <c r="D17" s="26"/>
      <c r="E17" s="26"/>
      <c r="F17" s="26"/>
      <c r="G17" s="24" t="str">
        <f t="shared" si="0"/>
        <v/>
      </c>
      <c r="H17" s="25" t="str">
        <f t="shared" si="1"/>
        <v/>
      </c>
    </row>
    <row r="18" spans="1:8" ht="21.75" customHeight="1">
      <c r="A18" s="43"/>
      <c r="B18" s="33" t="s">
        <v>156</v>
      </c>
      <c r="C18" s="23"/>
      <c r="D18" s="23"/>
      <c r="E18" s="23"/>
      <c r="F18" s="23"/>
      <c r="G18" s="24" t="str">
        <f t="shared" si="0"/>
        <v/>
      </c>
      <c r="H18" s="25" t="str">
        <f t="shared" si="1"/>
        <v/>
      </c>
    </row>
    <row r="19" spans="1:8" ht="21.75" customHeight="1">
      <c r="A19" s="43"/>
      <c r="B19" s="30" t="s">
        <v>157</v>
      </c>
      <c r="C19" s="26"/>
      <c r="D19" s="26"/>
      <c r="E19" s="26"/>
      <c r="F19" s="26"/>
      <c r="G19" s="24" t="str">
        <f t="shared" si="0"/>
        <v/>
      </c>
      <c r="H19" s="25" t="str">
        <f t="shared" si="1"/>
        <v/>
      </c>
    </row>
    <row r="20" spans="1:8" ht="21.75" customHeight="1">
      <c r="A20" s="43"/>
      <c r="B20" s="31" t="s">
        <v>158</v>
      </c>
      <c r="C20" s="23"/>
      <c r="D20" s="23"/>
      <c r="E20" s="23"/>
      <c r="F20" s="23"/>
      <c r="G20" s="24" t="str">
        <f t="shared" si="0"/>
        <v/>
      </c>
      <c r="H20" s="25" t="str">
        <f t="shared" si="1"/>
        <v/>
      </c>
    </row>
    <row r="21" spans="1:8" ht="21.75" customHeight="1">
      <c r="A21" s="43"/>
      <c r="B21" s="30" t="s">
        <v>159</v>
      </c>
      <c r="C21" s="26"/>
      <c r="D21" s="26"/>
      <c r="E21" s="26"/>
      <c r="F21" s="26"/>
      <c r="G21" s="24" t="str">
        <f t="shared" si="0"/>
        <v/>
      </c>
      <c r="H21" s="25" t="str">
        <f t="shared" si="1"/>
        <v/>
      </c>
    </row>
    <row r="22" spans="1:8" ht="21.75" customHeight="1">
      <c r="A22" s="43"/>
      <c r="B22" s="31" t="s">
        <v>160</v>
      </c>
      <c r="C22" s="23"/>
      <c r="D22" s="23"/>
      <c r="E22" s="23"/>
      <c r="F22" s="23"/>
      <c r="G22" s="24" t="str">
        <f t="shared" si="0"/>
        <v/>
      </c>
      <c r="H22" s="25" t="str">
        <f t="shared" si="1"/>
        <v/>
      </c>
    </row>
    <row r="23" spans="1:8" ht="21.75" customHeight="1">
      <c r="A23" s="43"/>
      <c r="B23" s="30" t="s">
        <v>161</v>
      </c>
      <c r="C23" s="26"/>
      <c r="D23" s="26"/>
      <c r="E23" s="26"/>
      <c r="F23" s="26"/>
      <c r="G23" s="24" t="str">
        <f t="shared" si="0"/>
        <v/>
      </c>
      <c r="H23" s="25" t="str">
        <f t="shared" si="1"/>
        <v/>
      </c>
    </row>
    <row r="24" spans="1:8" ht="24" customHeight="1">
      <c r="A24" s="43" t="s">
        <v>33</v>
      </c>
      <c r="B24" s="32" t="s">
        <v>155</v>
      </c>
      <c r="C24" s="23"/>
      <c r="D24" s="23"/>
      <c r="E24" s="23"/>
      <c r="F24" s="23"/>
      <c r="G24" s="24" t="str">
        <f t="shared" si="0"/>
        <v/>
      </c>
      <c r="H24" s="25" t="str">
        <f t="shared" si="1"/>
        <v/>
      </c>
    </row>
    <row r="25" spans="1:8" ht="24" customHeight="1">
      <c r="A25" s="43"/>
      <c r="B25" s="33" t="s">
        <v>156</v>
      </c>
      <c r="C25" s="26"/>
      <c r="D25" s="26"/>
      <c r="E25" s="26"/>
      <c r="F25" s="26"/>
      <c r="G25" s="24" t="str">
        <f t="shared" si="0"/>
        <v/>
      </c>
      <c r="H25" s="25" t="str">
        <f t="shared" si="1"/>
        <v/>
      </c>
    </row>
    <row r="26" spans="1:8" ht="24" customHeight="1">
      <c r="A26" s="43"/>
      <c r="B26" s="30" t="s">
        <v>157</v>
      </c>
      <c r="C26" s="23"/>
      <c r="D26" s="23"/>
      <c r="E26" s="23"/>
      <c r="F26" s="23"/>
      <c r="G26" s="24" t="str">
        <f t="shared" si="0"/>
        <v/>
      </c>
      <c r="H26" s="25" t="str">
        <f t="shared" si="1"/>
        <v/>
      </c>
    </row>
    <row r="27" spans="1:8" ht="24" customHeight="1">
      <c r="A27" s="43"/>
      <c r="B27" s="31" t="s">
        <v>158</v>
      </c>
      <c r="C27" s="26"/>
      <c r="D27" s="26"/>
      <c r="E27" s="26"/>
      <c r="F27" s="26"/>
      <c r="G27" s="24" t="str">
        <f t="shared" si="0"/>
        <v/>
      </c>
      <c r="H27" s="25" t="str">
        <f t="shared" si="1"/>
        <v/>
      </c>
    </row>
    <row r="28" spans="1:8" ht="24" customHeight="1">
      <c r="A28" s="43"/>
      <c r="B28" s="30" t="s">
        <v>159</v>
      </c>
      <c r="C28" s="23"/>
      <c r="D28" s="23"/>
      <c r="E28" s="23"/>
      <c r="F28" s="23"/>
      <c r="G28" s="24" t="str">
        <f t="shared" si="0"/>
        <v/>
      </c>
      <c r="H28" s="25" t="str">
        <f t="shared" si="1"/>
        <v/>
      </c>
    </row>
    <row r="29" spans="1:8" ht="24" customHeight="1">
      <c r="A29" s="43"/>
      <c r="B29" s="31" t="s">
        <v>160</v>
      </c>
      <c r="C29" s="26"/>
      <c r="D29" s="26"/>
      <c r="E29" s="26"/>
      <c r="F29" s="26"/>
      <c r="G29" s="24" t="str">
        <f t="shared" si="0"/>
        <v/>
      </c>
      <c r="H29" s="25" t="str">
        <f t="shared" si="1"/>
        <v/>
      </c>
    </row>
    <row r="30" spans="1:8" ht="24" customHeight="1">
      <c r="A30" s="43"/>
      <c r="B30" s="30" t="s">
        <v>161</v>
      </c>
      <c r="C30" s="23"/>
      <c r="D30" s="23"/>
      <c r="E30" s="23"/>
      <c r="F30" s="23"/>
      <c r="G30" s="24" t="str">
        <f t="shared" si="0"/>
        <v/>
      </c>
      <c r="H30" s="25" t="str">
        <f t="shared" si="1"/>
        <v/>
      </c>
    </row>
    <row r="31" spans="1:8" ht="15" customHeight="1">
      <c r="A31" s="41" t="s">
        <v>117</v>
      </c>
      <c r="B31" s="41"/>
      <c r="C31" s="24" t="str">
        <f t="shared" ref="C31:H31" si="2">IFERROR(AVERAGEIF(C10:C30,"&lt;&gt;"&amp;""),"")</f>
        <v/>
      </c>
      <c r="D31" s="24" t="str">
        <f t="shared" si="2"/>
        <v/>
      </c>
      <c r="E31" s="24" t="str">
        <f t="shared" si="2"/>
        <v/>
      </c>
      <c r="F31" s="24" t="str">
        <f t="shared" si="2"/>
        <v/>
      </c>
      <c r="G31" s="24" t="str">
        <f t="shared" si="2"/>
        <v/>
      </c>
      <c r="H31" s="24" t="str">
        <f t="shared" si="2"/>
        <v/>
      </c>
    </row>
  </sheetData>
  <mergeCells count="11">
    <mergeCell ref="A1:L1"/>
    <mergeCell ref="A2:L2"/>
    <mergeCell ref="B3:D3"/>
    <mergeCell ref="B4:D4"/>
    <mergeCell ref="B5:D5"/>
    <mergeCell ref="A31:B31"/>
    <mergeCell ref="B6:D6"/>
    <mergeCell ref="B7:D7"/>
    <mergeCell ref="A10:A16"/>
    <mergeCell ref="A17:A23"/>
    <mergeCell ref="A24:A30"/>
  </mergeCells>
  <dataValidations count="1">
    <dataValidation type="list" allowBlank="1" sqref="C10:F31" xr:uid="{00000000-0002-0000-0200-000000000000}">
      <formula1>"1,2,3,4"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zoomScaleNormal="100" workbookViewId="0">
      <selection activeCell="B18" sqref="B18:F18"/>
    </sheetView>
  </sheetViews>
  <sheetFormatPr defaultColWidth="8.7109375" defaultRowHeight="15"/>
  <cols>
    <col min="1" max="6" width="22" customWidth="1"/>
  </cols>
  <sheetData>
    <row r="1" spans="1:6" ht="31.5" customHeight="1">
      <c r="A1" s="47" t="s">
        <v>118</v>
      </c>
      <c r="B1" s="47"/>
      <c r="C1" s="47"/>
      <c r="D1" s="47"/>
      <c r="E1" s="47"/>
      <c r="F1" s="47"/>
    </row>
    <row r="2" spans="1:6" ht="25.5" customHeight="1">
      <c r="A2" s="45" t="s">
        <v>119</v>
      </c>
      <c r="B2" s="45"/>
      <c r="C2" s="45"/>
      <c r="D2" s="45"/>
      <c r="E2" s="45"/>
      <c r="F2" s="45"/>
    </row>
    <row r="3" spans="1:6" ht="36" customHeight="1">
      <c r="A3" s="27" t="s">
        <v>120</v>
      </c>
      <c r="B3" s="46" t="s">
        <v>121</v>
      </c>
      <c r="C3" s="46"/>
      <c r="D3" s="46"/>
      <c r="E3" s="46"/>
      <c r="F3" s="46"/>
    </row>
    <row r="4" spans="1:6" ht="36" customHeight="1">
      <c r="A4" s="28" t="s">
        <v>122</v>
      </c>
      <c r="B4" s="44" t="s">
        <v>123</v>
      </c>
      <c r="C4" s="44"/>
      <c r="D4" s="44"/>
      <c r="E4" s="44"/>
      <c r="F4" s="44"/>
    </row>
    <row r="5" spans="1:6" ht="36" customHeight="1">
      <c r="A5" s="29" t="s">
        <v>124</v>
      </c>
      <c r="B5" s="46" t="s">
        <v>125</v>
      </c>
      <c r="C5" s="46"/>
      <c r="D5" s="46"/>
      <c r="E5" s="46"/>
      <c r="F5" s="46"/>
    </row>
    <row r="6" spans="1:6" ht="36" customHeight="1">
      <c r="A6" s="6" t="s">
        <v>126</v>
      </c>
      <c r="B6" s="44" t="s">
        <v>127</v>
      </c>
      <c r="C6" s="44"/>
      <c r="D6" s="44"/>
      <c r="E6" s="44"/>
      <c r="F6" s="44"/>
    </row>
    <row r="8" spans="1:6" ht="25.5" customHeight="1">
      <c r="A8" s="45" t="s">
        <v>128</v>
      </c>
      <c r="B8" s="45"/>
      <c r="C8" s="45"/>
      <c r="D8" s="45"/>
      <c r="E8" s="45"/>
      <c r="F8" s="45"/>
    </row>
    <row r="9" spans="1:6" ht="36" customHeight="1">
      <c r="A9" s="27" t="s">
        <v>129</v>
      </c>
      <c r="B9" s="46" t="s">
        <v>130</v>
      </c>
      <c r="C9" s="46"/>
      <c r="D9" s="46"/>
      <c r="E9" s="46"/>
      <c r="F9" s="46"/>
    </row>
    <row r="10" spans="1:6" ht="36" customHeight="1">
      <c r="A10" s="28" t="s">
        <v>131</v>
      </c>
      <c r="B10" s="44" t="s">
        <v>132</v>
      </c>
      <c r="C10" s="44"/>
      <c r="D10" s="44"/>
      <c r="E10" s="44"/>
      <c r="F10" s="44"/>
    </row>
    <row r="11" spans="1:6" ht="36" customHeight="1">
      <c r="A11" s="29" t="s">
        <v>133</v>
      </c>
      <c r="B11" s="46" t="s">
        <v>134</v>
      </c>
      <c r="C11" s="46"/>
      <c r="D11" s="46"/>
      <c r="E11" s="46"/>
      <c r="F11" s="46"/>
    </row>
    <row r="12" spans="1:6" ht="36" customHeight="1">
      <c r="A12" s="6" t="s">
        <v>135</v>
      </c>
      <c r="B12" s="44" t="s">
        <v>136</v>
      </c>
      <c r="C12" s="44"/>
      <c r="D12" s="44"/>
      <c r="E12" s="44"/>
      <c r="F12" s="44"/>
    </row>
    <row r="14" spans="1:6" ht="25.5" customHeight="1">
      <c r="A14" s="45" t="s">
        <v>137</v>
      </c>
      <c r="B14" s="45"/>
      <c r="C14" s="45"/>
      <c r="D14" s="45"/>
      <c r="E14" s="45"/>
      <c r="F14" s="45"/>
    </row>
    <row r="15" spans="1:6" ht="36" customHeight="1">
      <c r="A15" s="27" t="s">
        <v>138</v>
      </c>
      <c r="B15" s="46" t="s">
        <v>139</v>
      </c>
      <c r="C15" s="46"/>
      <c r="D15" s="46"/>
      <c r="E15" s="46"/>
      <c r="F15" s="46"/>
    </row>
    <row r="16" spans="1:6" ht="36" customHeight="1">
      <c r="A16" s="28" t="s">
        <v>140</v>
      </c>
      <c r="B16" s="44" t="s">
        <v>141</v>
      </c>
      <c r="C16" s="44"/>
      <c r="D16" s="44"/>
      <c r="E16" s="44"/>
      <c r="F16" s="44"/>
    </row>
    <row r="17" spans="1:6" ht="36" customHeight="1">
      <c r="A17" s="29" t="s">
        <v>142</v>
      </c>
      <c r="B17" s="46" t="s">
        <v>143</v>
      </c>
      <c r="C17" s="46"/>
      <c r="D17" s="46"/>
      <c r="E17" s="46"/>
      <c r="F17" s="46"/>
    </row>
    <row r="18" spans="1:6" ht="36" customHeight="1">
      <c r="A18" s="6" t="s">
        <v>144</v>
      </c>
      <c r="B18" s="44" t="s">
        <v>145</v>
      </c>
      <c r="C18" s="44"/>
      <c r="D18" s="44"/>
      <c r="E18" s="44"/>
      <c r="F18" s="44"/>
    </row>
    <row r="20" spans="1:6" ht="25.5" customHeight="1">
      <c r="A20" s="45" t="s">
        <v>146</v>
      </c>
      <c r="B20" s="45"/>
      <c r="C20" s="45"/>
      <c r="D20" s="45"/>
      <c r="E20" s="45"/>
      <c r="F20" s="45"/>
    </row>
    <row r="21" spans="1:6" ht="36" customHeight="1">
      <c r="A21" s="27" t="s">
        <v>147</v>
      </c>
      <c r="B21" s="46" t="s">
        <v>148</v>
      </c>
      <c r="C21" s="46"/>
      <c r="D21" s="46"/>
      <c r="E21" s="46"/>
      <c r="F21" s="46"/>
    </row>
    <row r="22" spans="1:6" ht="36" customHeight="1">
      <c r="A22" s="28" t="s">
        <v>149</v>
      </c>
      <c r="B22" s="44" t="s">
        <v>150</v>
      </c>
      <c r="C22" s="44"/>
      <c r="D22" s="44"/>
      <c r="E22" s="44"/>
      <c r="F22" s="44"/>
    </row>
    <row r="23" spans="1:6" ht="36" customHeight="1">
      <c r="A23" s="29" t="s">
        <v>151</v>
      </c>
      <c r="B23" s="46" t="s">
        <v>152</v>
      </c>
      <c r="C23" s="46"/>
      <c r="D23" s="46"/>
      <c r="E23" s="46"/>
      <c r="F23" s="46"/>
    </row>
    <row r="24" spans="1:6" ht="36" customHeight="1">
      <c r="A24" s="6" t="s">
        <v>153</v>
      </c>
      <c r="B24" s="44" t="s">
        <v>154</v>
      </c>
      <c r="C24" s="44"/>
      <c r="D24" s="44"/>
      <c r="E24" s="44"/>
      <c r="F24" s="44"/>
    </row>
  </sheetData>
  <mergeCells count="21">
    <mergeCell ref="A1:F1"/>
    <mergeCell ref="A2:F2"/>
    <mergeCell ref="B3:F3"/>
    <mergeCell ref="B4:F4"/>
    <mergeCell ref="B5:F5"/>
    <mergeCell ref="B6:F6"/>
    <mergeCell ref="A8:F8"/>
    <mergeCell ref="B9:F9"/>
    <mergeCell ref="B10:F10"/>
    <mergeCell ref="B11:F11"/>
    <mergeCell ref="B12:F12"/>
    <mergeCell ref="A14:F14"/>
    <mergeCell ref="B15:F15"/>
    <mergeCell ref="B16:F16"/>
    <mergeCell ref="B17:F17"/>
    <mergeCell ref="B24:F24"/>
    <mergeCell ref="B18:F18"/>
    <mergeCell ref="A20:F20"/>
    <mergeCell ref="B21:F21"/>
    <mergeCell ref="B22:F22"/>
    <mergeCell ref="B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📋 Product Backlog</vt:lpstr>
      <vt:lpstr>🚀 Sprint Backlog</vt:lpstr>
      <vt:lpstr>⭐ PACER - Soft Skills</vt:lpstr>
      <vt:lpstr>📖 Guia PACER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Pietro Ramos</cp:lastModifiedBy>
  <cp:revision>0</cp:revision>
  <dcterms:created xsi:type="dcterms:W3CDTF">2026-04-04T16:07:19Z</dcterms:created>
  <dcterms:modified xsi:type="dcterms:W3CDTF">2026-04-07T22:49:04Z</dcterms:modified>
  <dc:language>en-US</dc:language>
</cp:coreProperties>
</file>